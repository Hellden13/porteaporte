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étiteurs" sheetId="1" state="visible" r:id="rId3"/>
    <sheet name="Tarification" sheetId="2" state="visible" r:id="rId4"/>
    <sheet name="Distribution" sheetId="3" state="visible" r:id="rId5"/>
    <sheet name="Proje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<sst xmlns="http://schemas.openxmlformats.org/spreadsheetml/2006/main" count="116" uniqueCount="111">
  <si>
    <t xml:space="preserve">Transporteur</t>
  </si>
  <si>
    <t xml:space="preserve">Petit Courrier (0-0.5kg)</t>
  </si>
  <si>
    <t xml:space="preserve">Petit Colis (0.5-2kg)</t>
  </si>
  <si>
    <t xml:space="preserve">Moyen (2-5kg)</t>
  </si>
  <si>
    <t xml:space="preserve">Gros (5-15kg)</t>
  </si>
  <si>
    <t xml:space="preserve">Source/Notes</t>
  </si>
  <si>
    <t xml:space="preserve">UPS Ground (intra-QC)</t>
  </si>
  <si>
    <t xml:space="preserve">$8.50</t>
  </si>
  <si>
    <t xml:space="preserve">$12.00</t>
  </si>
  <si>
    <t xml:space="preserve">$18.50</t>
  </si>
  <si>
    <t xml:space="preserve">$28.00</t>
  </si>
  <si>
    <t xml:space="preserve">Tarifs publics 2026</t>
  </si>
  <si>
    <t xml:space="preserve">FedEx Ground</t>
  </si>
  <si>
    <t xml:space="preserve">$9.25</t>
  </si>
  <si>
    <t xml:space="preserve">$13.50</t>
  </si>
  <si>
    <t xml:space="preserve">$20.00</t>
  </si>
  <si>
    <t xml:space="preserve">$32.00</t>
  </si>
  <si>
    <t xml:space="preserve">Purolator Ground</t>
  </si>
  <si>
    <t xml:space="preserve">$7.75</t>
  </si>
  <si>
    <t xml:space="preserve">$11.50</t>
  </si>
  <si>
    <t xml:space="preserve">$17.00</t>
  </si>
  <si>
    <t xml:space="preserve">$26.00</t>
  </si>
  <si>
    <t xml:space="preserve">Canada Post Parcel</t>
  </si>
  <si>
    <t xml:space="preserve">$6.50</t>
  </si>
  <si>
    <t xml:space="preserve">$9.75</t>
  </si>
  <si>
    <t xml:space="preserve">$14.50</t>
  </si>
  <si>
    <t xml:space="preserve">$22.00</t>
  </si>
  <si>
    <t xml:space="preserve">Skip The Dishes*</t>
  </si>
  <si>
    <t xml:space="preserve">$3.50-$6.00</t>
  </si>
  <si>
    <t xml:space="preserve">$4.00-$7.00</t>
  </si>
  <si>
    <t xml:space="preserve">$5.00-$9.00</t>
  </si>
  <si>
    <t xml:space="preserve">$8.00-$12.00</t>
  </si>
  <si>
    <t xml:space="preserve">*Restauration, surge pricing</t>
  </si>
  <si>
    <t xml:space="preserve">Uber Eats*</t>
  </si>
  <si>
    <t xml:space="preserve">$3.50-$6.50</t>
  </si>
  <si>
    <t xml:space="preserve">$4.50-$8.00</t>
  </si>
  <si>
    <t xml:space="preserve">$6.00-$10.00</t>
  </si>
  <si>
    <t xml:space="preserve">$9.00-$14.00</t>
  </si>
  <si>
    <t xml:space="preserve">DoorDash*</t>
  </si>
  <si>
    <t xml:space="preserve">$3.75-$6.75</t>
  </si>
  <si>
    <t xml:space="preserve">$4.75-$8.50</t>
  </si>
  <si>
    <t xml:space="preserve">$6.50-$11.00</t>
  </si>
  <si>
    <t xml:space="preserve">$10.00-$15.00</t>
  </si>
  <si>
    <t xml:space="preserve">**PorteàPorte (Target)**</t>
  </si>
  <si>
    <t xml:space="preserve">$2.50</t>
  </si>
  <si>
    <t xml:space="preserve">$3.50</t>
  </si>
  <si>
    <t xml:space="preserve">$5.00</t>
  </si>
  <si>
    <t xml:space="preserve">$7.50</t>
  </si>
  <si>
    <t xml:space="preserve">50-60% cheaper goal</t>
  </si>
  <si>
    <t xml:space="preserve">CALCULATEUR DE PRIX - PorteàPorte</t>
  </si>
  <si>
    <t xml:space="preserve">PARAMETRES</t>
  </si>
  <si>
    <t xml:space="preserve">Distance (km)</t>
  </si>
  <si>
    <t xml:space="preserve">Poids (kg)</t>
  </si>
  <si>
    <t xml:space="preserve">Valeur du colis ($)</t>
  </si>
  <si>
    <t xml:space="preserve">Risque (1=faible, 1.1=moyen, 1.3=élevé)</t>
  </si>
  <si>
    <t xml:space="preserve">CALCUL DE PRIX</t>
  </si>
  <si>
    <t xml:space="preserve">Prix de base</t>
  </si>
  <si>
    <t xml:space="preserve">Surcharge securite</t>
  </si>
  <si>
    <t xml:space="preserve">Multiplicateur risque</t>
  </si>
  <si>
    <t xml:space="preserve">Prix AVANT marges</t>
  </si>
  <si>
    <t xml:space="preserve">Prix CLIENT PorteaPorte</t>
  </si>
  <si>
    <t xml:space="preserve">Comparateur UPS</t>
  </si>
  <si>
    <t xml:space="preserve">Comparateur Purolator</t>
  </si>
  <si>
    <t xml:space="preserve">Economie vs UPS (%)</t>
  </si>
  <si>
    <t xml:space="preserve">Economie vs Purolator (%)</t>
  </si>
  <si>
    <t xml:space="preserve">MODELE DE DISTRIBUTION - PorteaPorte</t>
  </si>
  <si>
    <t xml:space="preserve">Prix livraison (client)</t>
  </si>
  <si>
    <t xml:space="preserve">ALLOCATION</t>
  </si>
  <si>
    <t xml:space="preserve">%</t>
  </si>
  <si>
    <t xml:space="preserve">MONTANT ($)</t>
  </si>
  <si>
    <t xml:space="preserve">DESCRIPTION</t>
  </si>
  <si>
    <t xml:space="preserve">Livreur (60% + bonus)</t>
  </si>
  <si>
    <t xml:space="preserve">60%</t>
  </si>
  <si>
    <t xml:space="preserve">Base + prime livraison rapide</t>
  </si>
  <si>
    <t xml:space="preserve">PorteaPorte (commission)</t>
  </si>
  <si>
    <t xml:space="preserve">12%</t>
  </si>
  <si>
    <t xml:space="preserve">Plateforme + support</t>
  </si>
  <si>
    <t xml:space="preserve">Organismes humanitaires</t>
  </si>
  <si>
    <t xml:space="preserve">4%</t>
  </si>
  <si>
    <t xml:space="preserve">Orgs locales Quebec</t>
  </si>
  <si>
    <t xml:space="preserve">Concours/Rewards livreurs</t>
  </si>
  <si>
    <t xml:space="preserve">2%</t>
  </si>
  <si>
    <t xml:space="preserve">Cafe, massage, cartes-cadeaux</t>
  </si>
  <si>
    <t xml:space="preserve">Fonds assurance/reclamations</t>
  </si>
  <si>
    <t xml:space="preserve">6%</t>
  </si>
  <si>
    <t xml:space="preserve">Reserve pour dommages</t>
  </si>
  <si>
    <t xml:space="preserve">Frais Stripe/hosting/ops</t>
  </si>
  <si>
    <t xml:space="preserve">16%</t>
  </si>
  <si>
    <t xml:space="preserve">Paiements, serveurs, support</t>
  </si>
  <si>
    <t xml:space="preserve">TOTAL</t>
  </si>
  <si>
    <t xml:space="preserve">Doit egal 100%</t>
  </si>
  <si>
    <t xml:space="preserve">PROJECTION REVENUE - 12 MOIS</t>
  </si>
  <si>
    <t xml:space="preserve">Mois</t>
  </si>
  <si>
    <t xml:space="preserve">Livraisons</t>
  </si>
  <si>
    <t xml:space="preserve">Prix moyen</t>
  </si>
  <si>
    <t xml:space="preserve">Revenue brut</t>
  </si>
  <si>
    <t xml:space="preserve">Comm (12%)</t>
  </si>
  <si>
    <t xml:space="preserve">Livreurs gagnent</t>
  </si>
  <si>
    <t xml:space="preserve">Reserve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</si>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</sst>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color rgb="FFB8F53E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51BA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42C"/>
        <bgColor rgb="FF333300"/>
      </patternFill>
    </fill>
    <fill>
      <patternFill patternType="solid">
        <fgColor rgb="FF0A0C0F"/>
        <bgColor rgb="FF000000"/>
      </patternFill>
    </fill>
    <fill>
      <patternFill patternType="solid">
        <fgColor rgb="FF0BFFCB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B8F53E"/>
        <bgColor rgb="FFFFFF00"/>
      </patternFill>
    </fill>
    <fill>
      <patternFill patternType="solid">
        <fgColor rgb="FF0051B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BFFCB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1B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8F53E"/>
      <rgbColor rgb="FFFFCC00"/>
      <rgbColor rgb="FFFF9900"/>
      <rgbColor rgb="FFFF6600"/>
      <rgbColor rgb="FF666699"/>
      <rgbColor rgb="FF969696"/>
      <rgbColor rgb="FF003366"/>
      <rgbColor rgb="FF339966"/>
      <rgbColor rgb="FF0A0C0F"/>
      <rgbColor rgb="FF333300"/>
      <rgbColor rgb="FF993300"/>
      <rgbColor rgb="FF993366"/>
      <rgbColor rgb="FF333399"/>
      <rgbColor rgb="FF1F24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8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11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11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11</v>
      </c>
    </row>
    <row r="6" customFormat="false" ht="15" hidden="false" customHeight="false" outlineLevel="0" collapsed="false">
      <c r="A6" s="0" t="s">
        <v>27</v>
      </c>
      <c r="B6" s="0" t="s">
        <v>28</v>
      </c>
      <c r="C6" s="0" t="s">
        <v>29</v>
      </c>
      <c r="D6" s="0" t="s">
        <v>30</v>
      </c>
      <c r="E6" s="0" t="s">
        <v>31</v>
      </c>
      <c r="F6" s="0" t="s">
        <v>32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32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s">
        <v>40</v>
      </c>
      <c r="D8" s="0" t="s">
        <v>41</v>
      </c>
      <c r="E8" s="0" t="s">
        <v>42</v>
      </c>
      <c r="F8" s="0" t="s">
        <v>32</v>
      </c>
    </row>
    <row r="10" customFormat="false" ht="15" hidden="false" customHeight="false" outlineLevel="0" collapsed="false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4" t="s">
        <v>49</v>
      </c>
      <c r="B1" s="4"/>
      <c r="C1" s="4"/>
      <c r="D1" s="4"/>
      <c r="E1" s="4"/>
    </row>
    <row r="3" customFormat="false" ht="15" hidden="false" customHeight="false" outlineLevel="0" collapsed="false">
      <c r="A3" s="5" t="s">
        <v>50</v>
      </c>
    </row>
    <row r="4" customFormat="false" ht="15" hidden="false" customHeight="false" outlineLevel="0" collapsed="false">
      <c r="A4" s="0" t="s">
        <v>51</v>
      </c>
      <c r="B4" s="6" t="n">
        <v>20</v>
      </c>
    </row>
    <row r="5" customFormat="false" ht="15" hidden="false" customHeight="false" outlineLevel="0" collapsed="false">
      <c r="A5" s="0" t="s">
        <v>52</v>
      </c>
      <c r="B5" s="6" t="n">
        <v>2</v>
      </c>
    </row>
    <row r="6" customFormat="false" ht="15" hidden="false" customHeight="false" outlineLevel="0" collapsed="false">
      <c r="A6" s="0" t="s">
        <v>53</v>
      </c>
      <c r="B6" s="6" t="n">
        <v>50</v>
      </c>
    </row>
    <row r="7" customFormat="false" ht="15" hidden="false" customHeight="false" outlineLevel="0" collapsed="false">
      <c r="A7" s="0" t="s">
        <v>54</v>
      </c>
      <c r="B7" s="6" t="n">
        <v>1.1</v>
      </c>
    </row>
    <row r="10" customFormat="false" ht="15" hidden="false" customHeight="false" outlineLevel="0" collapsed="false">
      <c r="A10" s="5" t="s">
        <v>55</v>
      </c>
    </row>
    <row r="11" customFormat="false" ht="15" hidden="false" customHeight="false" outlineLevel="0" collapsed="false">
      <c r="A11" s="0" t="s">
        <v>56</v>
      </c>
      <c r="B11" s="0" t="n">
        <f aca="false">B4*0.15+B5*0.25</f>
        <v>3.5</v>
      </c>
    </row>
    <row r="12" customFormat="false" ht="15" hidden="false" customHeight="false" outlineLevel="0" collapsed="false">
      <c r="A12" s="0" t="s">
        <v>57</v>
      </c>
      <c r="B12" s="0" t="n">
        <f aca="false">IF(B6&gt;100, B6*0.05, 0)</f>
        <v>0</v>
      </c>
    </row>
    <row r="13" customFormat="false" ht="15" hidden="false" customHeight="false" outlineLevel="0" collapsed="false">
      <c r="A13" s="0" t="s">
        <v>58</v>
      </c>
      <c r="B13" s="0" t="n">
        <f aca="false">B7</f>
        <v>1.1</v>
      </c>
    </row>
    <row r="14" customFormat="false" ht="15" hidden="false" customHeight="false" outlineLevel="0" collapsed="false">
      <c r="A14" s="0" t="s">
        <v>59</v>
      </c>
      <c r="B14" s="0" t="n">
        <f aca="false">B11*B13*(1+B12/B11)</f>
        <v>3.85</v>
      </c>
    </row>
    <row r="16" customFormat="false" ht="15" hidden="false" customHeight="false" outlineLevel="0" collapsed="false">
      <c r="A16" s="0" t="s">
        <v>60</v>
      </c>
      <c r="B16" s="7" t="n">
        <f aca="false">B14*1.12</f>
        <v>4.312</v>
      </c>
    </row>
    <row r="18" customFormat="false" ht="15" hidden="false" customHeight="false" outlineLevel="0" collapsed="false">
      <c r="A18" s="0" t="s">
        <v>61</v>
      </c>
      <c r="B18" s="0" t="n">
        <f aca="false">IF(B5&lt;0.5, 8.5, IF(B5&lt;2, 12, IF(B5&lt;5, 18.5, 28)))</f>
        <v>18.5</v>
      </c>
    </row>
    <row r="19" customFormat="false" ht="15" hidden="false" customHeight="false" outlineLevel="0" collapsed="false">
      <c r="A19" s="0" t="s">
        <v>62</v>
      </c>
      <c r="B19" s="0" t="n">
        <f aca="false">IF(B5&lt;0.5, 7.75, IF(B5&lt;2, 11.5, IF(B5&lt;5, 17, 26)))</f>
        <v>17</v>
      </c>
    </row>
    <row r="21" customFormat="false" ht="15" hidden="false" customHeight="false" outlineLevel="0" collapsed="false">
      <c r="A21" s="0" t="s">
        <v>63</v>
      </c>
      <c r="B21" s="0" t="n">
        <f aca="false">(B18-B16)/B18*100</f>
        <v>76.6918918918919</v>
      </c>
    </row>
    <row r="22" customFormat="false" ht="15" hidden="false" customHeight="false" outlineLevel="0" collapsed="false">
      <c r="A22" s="0" t="s">
        <v>64</v>
      </c>
      <c r="B22" s="0" t="n">
        <f aca="false">(B19-B16)/B19*100</f>
        <v>74.6352941176471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8" t="s">
        <v>65</v>
      </c>
      <c r="B1" s="8"/>
      <c r="C1" s="8"/>
      <c r="D1" s="8"/>
    </row>
    <row r="3" customFormat="false" ht="15" hidden="false" customHeight="false" outlineLevel="0" collapsed="false">
      <c r="A3" s="0" t="s">
        <v>66</v>
      </c>
      <c r="B3" s="9" t="n">
        <v>10</v>
      </c>
    </row>
    <row r="5" customFormat="false" ht="15" hidden="false" customHeight="false" outlineLevel="0" collapsed="false">
      <c r="A5" s="5" t="s">
        <v>67</v>
      </c>
      <c r="B5" s="5" t="s">
        <v>68</v>
      </c>
      <c r="C5" s="5" t="s">
        <v>69</v>
      </c>
      <c r="D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f aca="false">B3*0.6</f>
        <v>6</v>
      </c>
      <c r="D6" s="0" t="s">
        <v>73</v>
      </c>
    </row>
    <row r="7" customFormat="false" ht="15" hidden="false" customHeight="false" outlineLevel="0" collapsed="false">
      <c r="A7" s="0" t="s">
        <v>74</v>
      </c>
      <c r="B7" s="0" t="s">
        <v>75</v>
      </c>
      <c r="C7" s="0" t="n">
        <f aca="false">B3*0.12</f>
        <v>1.2</v>
      </c>
      <c r="D7" s="0" t="s">
        <v>76</v>
      </c>
    </row>
    <row r="8" customFormat="false" ht="15" hidden="false" customHeight="false" outlineLevel="0" collapsed="false">
      <c r="A8" s="0" t="s">
        <v>77</v>
      </c>
      <c r="B8" s="0" t="s">
        <v>78</v>
      </c>
      <c r="C8" s="0" t="n">
        <f aca="false">B3*0.04</f>
        <v>0.4</v>
      </c>
      <c r="D8" s="0" t="s">
        <v>79</v>
      </c>
    </row>
    <row r="9" customFormat="false" ht="15" hidden="false" customHeight="false" outlineLevel="0" collapsed="false">
      <c r="A9" s="0" t="s">
        <v>80</v>
      </c>
      <c r="B9" s="0" t="s">
        <v>81</v>
      </c>
      <c r="C9" s="0" t="n">
        <f aca="false">B3*0.02</f>
        <v>0.2</v>
      </c>
      <c r="D9" s="0" t="s">
        <v>82</v>
      </c>
    </row>
    <row r="10" customFormat="false" ht="15" hidden="false" customHeight="false" outlineLevel="0" collapsed="false">
      <c r="A10" s="0" t="s">
        <v>83</v>
      </c>
      <c r="B10" s="0" t="s">
        <v>84</v>
      </c>
      <c r="C10" s="0" t="n">
        <f aca="false">B3*0.06</f>
        <v>0.6</v>
      </c>
      <c r="D10" s="0" t="s">
        <v>85</v>
      </c>
    </row>
    <row r="11" customFormat="false" ht="15" hidden="false" customHeight="false" outlineLevel="0" collapsed="false">
      <c r="A11" s="0" t="s">
        <v>86</v>
      </c>
      <c r="B11" s="0" t="s">
        <v>87</v>
      </c>
      <c r="C11" s="0" t="n">
        <f aca="false">B3*0.16</f>
        <v>1.6</v>
      </c>
      <c r="D11" s="0" t="s">
        <v>88</v>
      </c>
    </row>
    <row r="12" customFormat="false" ht="15" hidden="false" customHeight="false" outlineLevel="0" collapsed="false">
      <c r="A12" s="7" t="s">
        <v>89</v>
      </c>
      <c r="B12" s="7" t="n">
        <f aca="false">SUM(B6:B11)</f>
        <v>0</v>
      </c>
      <c r="C12" s="7" t="n">
        <f aca="false">SUM(C6:C11)</f>
        <v>10</v>
      </c>
      <c r="D12" s="7" t="s">
        <v>90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10" t="s">
        <v>91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11" t="s">
        <v>92</v>
      </c>
      <c r="B2" s="11" t="s">
        <v>93</v>
      </c>
      <c r="C2" s="11" t="s">
        <v>94</v>
      </c>
      <c r="D2" s="11" t="s">
        <v>95</v>
      </c>
      <c r="E2" s="11" t="s">
        <v>96</v>
      </c>
      <c r="F2" s="11" t="s">
        <v>97</v>
      </c>
      <c r="G2" s="11" t="s">
        <v>98</v>
      </c>
    </row>
    <row r="3" customFormat="false" ht="15" hidden="false" customHeight="false" outlineLevel="0" collapsed="false">
      <c r="A3" s="0" t="s">
        <v>99</v>
      </c>
      <c r="B3" s="0" t="n">
        <v>50</v>
      </c>
      <c r="C3" s="0" t="n">
        <v>8.5</v>
      </c>
      <c r="D3" s="0" t="n">
        <f aca="false">B3*C3</f>
        <v>425</v>
      </c>
      <c r="E3" s="0" t="n">
        <f aca="false">D3*0.12</f>
        <v>51</v>
      </c>
      <c r="F3" s="0" t="n">
        <f aca="false">D3*0.6</f>
        <v>255</v>
      </c>
      <c r="G3" s="0" t="n">
        <f aca="false">D3*0.06</f>
        <v>25.5</v>
      </c>
    </row>
    <row r="4" customFormat="false" ht="15" hidden="false" customHeight="false" outlineLevel="0" collapsed="false">
      <c r="A4" s="0" t="s">
        <v>100</v>
      </c>
      <c r="B4" s="0" t="n">
        <v>57</v>
      </c>
      <c r="C4" s="0" t="n">
        <v>8.5</v>
      </c>
      <c r="D4" s="0" t="n">
        <f aca="false">B4*C4</f>
        <v>484.5</v>
      </c>
      <c r="E4" s="0" t="n">
        <f aca="false">D4*0.12</f>
        <v>58.14</v>
      </c>
      <c r="F4" s="0" t="n">
        <f aca="false">D4*0.6</f>
        <v>290.7</v>
      </c>
      <c r="G4" s="0" t="n">
        <f aca="false">D4*0.06</f>
        <v>29.07</v>
      </c>
    </row>
    <row r="5" customFormat="false" ht="15" hidden="false" customHeight="false" outlineLevel="0" collapsed="false">
      <c r="A5" s="0" t="s">
        <v>101</v>
      </c>
      <c r="B5" s="0" t="n">
        <v>66</v>
      </c>
      <c r="C5" s="0" t="n">
        <v>8.5</v>
      </c>
      <c r="D5" s="0" t="n">
        <f aca="false">B5*C5</f>
        <v>561</v>
      </c>
      <c r="E5" s="0" t="n">
        <f aca="false">D5*0.12</f>
        <v>67.32</v>
      </c>
      <c r="F5" s="0" t="n">
        <f aca="false">D5*0.6</f>
        <v>336.6</v>
      </c>
      <c r="G5" s="0" t="n">
        <f aca="false">D5*0.06</f>
        <v>33.66</v>
      </c>
    </row>
    <row r="6" customFormat="false" ht="15" hidden="false" customHeight="false" outlineLevel="0" collapsed="false">
      <c r="A6" s="0" t="s">
        <v>102</v>
      </c>
      <c r="B6" s="0" t="n">
        <v>76</v>
      </c>
      <c r="C6" s="0" t="n">
        <v>8.5</v>
      </c>
      <c r="D6" s="0" t="n">
        <f aca="false">B6*C6</f>
        <v>646</v>
      </c>
      <c r="E6" s="0" t="n">
        <f aca="false">D6*0.12</f>
        <v>77.52</v>
      </c>
      <c r="F6" s="0" t="n">
        <f aca="false">D6*0.6</f>
        <v>387.6</v>
      </c>
      <c r="G6" s="0" t="n">
        <f aca="false">D6*0.06</f>
        <v>38.76</v>
      </c>
    </row>
    <row r="7" customFormat="false" ht="15" hidden="false" customHeight="false" outlineLevel="0" collapsed="false">
      <c r="A7" s="0" t="s">
        <v>103</v>
      </c>
      <c r="B7" s="0" t="n">
        <v>87</v>
      </c>
      <c r="C7" s="0" t="n">
        <v>8.5</v>
      </c>
      <c r="D7" s="0" t="n">
        <f aca="false">B7*C7</f>
        <v>739.5</v>
      </c>
      <c r="E7" s="0" t="n">
        <f aca="false">D7*0.12</f>
        <v>88.74</v>
      </c>
      <c r="F7" s="0" t="n">
        <f aca="false">D7*0.6</f>
        <v>443.7</v>
      </c>
      <c r="G7" s="0" t="n">
        <f aca="false">D7*0.06</f>
        <v>44.37</v>
      </c>
    </row>
    <row r="8" customFormat="false" ht="15" hidden="false" customHeight="false" outlineLevel="0" collapsed="false">
      <c r="A8" s="0" t="s">
        <v>104</v>
      </c>
      <c r="B8" s="0" t="n">
        <v>100</v>
      </c>
      <c r="C8" s="0" t="n">
        <v>8.5</v>
      </c>
      <c r="D8" s="0" t="n">
        <f aca="false">B8*C8</f>
        <v>850</v>
      </c>
      <c r="E8" s="0" t="n">
        <f aca="false">D8*0.12</f>
        <v>102</v>
      </c>
      <c r="F8" s="0" t="n">
        <f aca="false">D8*0.6</f>
        <v>510</v>
      </c>
      <c r="G8" s="0" t="n">
        <f aca="false">D8*0.06</f>
        <v>51</v>
      </c>
    </row>
    <row r="9" customFormat="false" ht="15" hidden="false" customHeight="false" outlineLevel="0" collapsed="false">
      <c r="A9" s="0" t="s">
        <v>105</v>
      </c>
      <c r="B9" s="0" t="n">
        <v>115</v>
      </c>
      <c r="C9" s="0" t="n">
        <v>8.5</v>
      </c>
      <c r="D9" s="0" t="n">
        <f aca="false">B9*C9</f>
        <v>977.5</v>
      </c>
      <c r="E9" s="0" t="n">
        <f aca="false">D9*0.12</f>
        <v>117.3</v>
      </c>
      <c r="F9" s="0" t="n">
        <f aca="false">D9*0.6</f>
        <v>586.5</v>
      </c>
      <c r="G9" s="0" t="n">
        <f aca="false">D9*0.06</f>
        <v>58.65</v>
      </c>
    </row>
    <row r="10" customFormat="false" ht="15" hidden="false" customHeight="false" outlineLevel="0" collapsed="false">
      <c r="A10" s="0" t="s">
        <v>106</v>
      </c>
      <c r="B10" s="0" t="n">
        <v>133</v>
      </c>
      <c r="C10" s="0" t="n">
        <v>8.5</v>
      </c>
      <c r="D10" s="0" t="n">
        <f aca="false">B10*C10</f>
        <v>1130.5</v>
      </c>
      <c r="E10" s="0" t="n">
        <f aca="false">D10*0.12</f>
        <v>135.66</v>
      </c>
      <c r="F10" s="0" t="n">
        <f aca="false">D10*0.6</f>
        <v>678.3</v>
      </c>
      <c r="G10" s="0" t="n">
        <f aca="false">D10*0.06</f>
        <v>67.83</v>
      </c>
    </row>
    <row r="11" customFormat="false" ht="15" hidden="false" customHeight="false" outlineLevel="0" collapsed="false">
      <c r="A11" s="0" t="s">
        <v>107</v>
      </c>
      <c r="B11" s="0" t="n">
        <v>152</v>
      </c>
      <c r="C11" s="0" t="n">
        <v>8.5</v>
      </c>
      <c r="D11" s="0" t="n">
        <f aca="false">B11*C11</f>
        <v>1292</v>
      </c>
      <c r="E11" s="0" t="n">
        <f aca="false">D11*0.12</f>
        <v>155.04</v>
      </c>
      <c r="F11" s="0" t="n">
        <f aca="false">D11*0.6</f>
        <v>775.2</v>
      </c>
      <c r="G11" s="0" t="n">
        <f aca="false">D11*0.06</f>
        <v>77.52</v>
      </c>
    </row>
    <row r="12" customFormat="false" ht="15" hidden="false" customHeight="false" outlineLevel="0" collapsed="false">
      <c r="A12" s="0" t="s">
        <v>108</v>
      </c>
      <c r="B12" s="0" t="n">
        <v>175</v>
      </c>
      <c r="C12" s="0" t="n">
        <v>8.5</v>
      </c>
      <c r="D12" s="0" t="n">
        <f aca="false">B12*C12</f>
        <v>1487.5</v>
      </c>
      <c r="E12" s="0" t="n">
        <f aca="false">D12*0.12</f>
        <v>178.5</v>
      </c>
      <c r="F12" s="0" t="n">
        <f aca="false">D12*0.6</f>
        <v>892.5</v>
      </c>
      <c r="G12" s="0" t="n">
        <f aca="false">D12*0.06</f>
        <v>89.25</v>
      </c>
    </row>
    <row r="13" customFormat="false" ht="15" hidden="false" customHeight="false" outlineLevel="0" collapsed="false">
      <c r="A13" s="0" t="s">
        <v>109</v>
      </c>
      <c r="B13" s="0" t="n">
        <v>202</v>
      </c>
      <c r="C13" s="0" t="n">
        <v>8.5</v>
      </c>
      <c r="D13" s="0" t="n">
        <f aca="false">B13*C13</f>
        <v>1717</v>
      </c>
      <c r="E13" s="0" t="n">
        <f aca="false">D13*0.12</f>
        <v>206.04</v>
      </c>
      <c r="F13" s="0" t="n">
        <f aca="false">D13*0.6</f>
        <v>1030.2</v>
      </c>
      <c r="G13" s="0" t="n">
        <f aca="false">D13*0.06</f>
        <v>103.02</v>
      </c>
    </row>
    <row r="14" customFormat="false" ht="15" hidden="false" customHeight="false" outlineLevel="0" collapsed="false">
      <c r="A14" s="0" t="s">
        <v>110</v>
      </c>
      <c r="B14" s="0" t="n">
        <v>232</v>
      </c>
      <c r="C14" s="0" t="n">
        <v>8.5</v>
      </c>
      <c r="D14" s="0" t="n">
        <f aca="false">B14*C14</f>
        <v>1972</v>
      </c>
      <c r="E14" s="0" t="n">
        <f aca="false">D14*0.12</f>
        <v>236.64</v>
      </c>
      <c r="F14" s="0" t="n">
        <f aca="false">D14*0.6</f>
        <v>1183.2</v>
      </c>
      <c r="G14" s="0" t="n">
        <f aca="false">D14*0.06</f>
        <v>118.32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2026-05-08T01:43:21Z</dcterms:created>
  <dc:creator>openpyxl</dc:creator>
  <dc:description/>
  <dc:language>en-US</dc:language>
  <cp:lastModifiedBy/>
  <dcterms:modified xsi:type="dcterms:W3CDTF">2026-05-08T01:43:21Z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