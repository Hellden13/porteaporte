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Par transaction" sheetId="2" state="visible" r:id="rId2"/>
    <sheet name="Scénarios" sheetId="3" state="visible" r:id="rId3"/>
    <sheet name="Répartition 40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9">
    <font>
      <name val="Calibri"/>
      <family val="2"/>
      <color theme="1"/>
      <sz val="11"/>
      <scheme val="minor"/>
    </font>
    <font>
      <name val="Arial"/>
      <b val="1"/>
      <color rgb="000A0C10"/>
      <sz val="14"/>
    </font>
    <font>
      <name val="Arial"/>
      <b val="1"/>
      <color rgb="0000538a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b val="1"/>
      <color rgb="00FFFFFF"/>
    </font>
    <font>
      <name val="Arial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EAF3FB"/>
      </patternFill>
    </fill>
    <fill>
      <patternFill patternType="solid">
        <fgColor rgb="000A6CAD"/>
      </patternFill>
    </fill>
  </fills>
  <borders count="2">
    <border>
      <left/>
      <right/>
      <top/>
      <bottom/>
      <diagonal/>
    </border>
    <border>
      <left style="thin">
        <color rgb="00C8D2DC"/>
      </left>
      <right style="thin">
        <color rgb="00C8D2DC"/>
      </right>
      <top style="thin">
        <color rgb="00C8D2DC"/>
      </top>
      <bottom style="thin">
        <color rgb="00C8D2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0" borderId="0" pivotButton="0" quotePrefix="0" xfId="0"/>
    <xf numFmtId="165" fontId="3" fillId="3" borderId="0" pivotButton="0" quotePrefix="0" xfId="0"/>
    <xf numFmtId="165" fontId="6" fillId="0" borderId="0" pivotButton="0" quotePrefix="0" xfId="0"/>
    <xf numFmtId="165" fontId="3" fillId="0" borderId="0" pivotButton="0" quotePrefix="0" xfId="0"/>
    <xf numFmtId="165" fontId="5" fillId="3" borderId="0" pivotButton="0" quotePrefix="0" xfId="0"/>
    <xf numFmtId="164" fontId="3" fillId="0" borderId="0" pivotButton="0" quotePrefix="0" xfId="0"/>
    <xf numFmtId="0" fontId="7" fillId="4" borderId="0" applyAlignment="1" pivotButton="0" quotePrefix="0" xfId="0">
      <alignment horizontal="center"/>
    </xf>
    <xf numFmtId="0" fontId="4" fillId="2" borderId="1" pivotButton="0" quotePrefix="0" xfId="0"/>
    <xf numFmtId="0" fontId="7" fillId="4" borderId="0" pivotButton="0" quotePrefix="0" xfId="0"/>
    <xf numFmtId="0" fontId="8" fillId="0" borderId="0" pivotButton="0" quotePrefix="0" xfId="0"/>
    <xf numFmtId="164" fontId="5" fillId="3" borderId="0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PorteàPorte — Hypothèses (modifie les cases bleues)</t>
        </is>
      </c>
    </row>
    <row r="3">
      <c r="A3" s="2" t="inlineStr">
        <is>
          <t>— FRAIS STRIPE —</t>
        </is>
      </c>
    </row>
    <row r="4">
      <c r="A4" s="3" t="inlineStr">
        <is>
          <t>Stripe — taux (%)</t>
        </is>
      </c>
      <c r="B4" s="4" t="n">
        <v>0.029</v>
      </c>
    </row>
    <row r="5">
      <c r="A5" s="3" t="inlineStr">
        <is>
          <t>Stripe — frais fixe ($/transaction)</t>
        </is>
      </c>
      <c r="B5" s="5" t="n">
        <v>0.3</v>
      </c>
    </row>
    <row r="6">
      <c r="A6" s="3" t="inlineStr">
        <is>
          <t>Stripe Connect — taux versement (%)</t>
        </is>
      </c>
      <c r="B6" s="4" t="n">
        <v>0.0025</v>
      </c>
    </row>
    <row r="7">
      <c r="A7" s="3" t="inlineStr">
        <is>
          <t>Stripe Connect — frais fixe ($/versement)</t>
        </is>
      </c>
      <c r="B7" s="5" t="n">
        <v>0.25</v>
      </c>
    </row>
    <row r="8">
      <c r="A8" s="3" t="inlineStr">
        <is>
          <t>Stripe Connect — $/mois par compte actif</t>
        </is>
      </c>
      <c r="B8" s="5" t="n">
        <v>2</v>
      </c>
    </row>
    <row r="10">
      <c r="A10" s="2" t="inlineStr">
        <is>
          <t>— LIVRAISON —</t>
        </is>
      </c>
    </row>
    <row r="11">
      <c r="A11" s="3" t="inlineStr">
        <is>
          <t>Ticket moyen livraison ($)</t>
        </is>
      </c>
      <c r="B11" s="5" t="n">
        <v>15</v>
      </c>
    </row>
    <row r="12">
      <c r="A12" s="3" t="inlineStr">
        <is>
          <t>Part livreur (%)</t>
        </is>
      </c>
      <c r="B12" s="4" t="n">
        <v>0.6</v>
      </c>
    </row>
    <row r="14">
      <c r="A14" s="2" t="inlineStr">
        <is>
          <t>— COVOITURAGE —</t>
        </is>
      </c>
    </row>
    <row r="15">
      <c r="A15" s="3" t="inlineStr">
        <is>
          <t>Frais plateforme fixe ($/siège)</t>
        </is>
      </c>
      <c r="B15" s="5" t="n">
        <v>1.5</v>
      </c>
      <c r="C15" s="15" t="inlineStr">
        <is>
          <t>Par paliers : 1,50 $ si &lt;15 $, 3 $ si &gt;=15 $</t>
        </is>
      </c>
    </row>
    <row r="16">
      <c r="A16" s="3" t="inlineStr">
        <is>
          <t>Ticket moyen siège ($)</t>
        </is>
      </c>
      <c r="B16" s="5" t="n">
        <v>25</v>
      </c>
    </row>
    <row r="18">
      <c r="A18" s="2" t="inlineStr">
        <is>
          <t>— COÛTS FIXES MENSUELS —</t>
        </is>
      </c>
    </row>
    <row r="19">
      <c r="A19" s="3" t="inlineStr">
        <is>
          <t>Vercel</t>
        </is>
      </c>
      <c r="B19" s="5" t="n">
        <v>20</v>
      </c>
    </row>
    <row r="20">
      <c r="A20" s="3" t="inlineStr">
        <is>
          <t>Supabase</t>
        </is>
      </c>
      <c r="B20" s="5" t="n">
        <v>34</v>
      </c>
    </row>
    <row r="21">
      <c r="A21" s="3" t="inlineStr">
        <is>
          <t>SendGrid (courriels)</t>
        </is>
      </c>
      <c r="B21" s="5" t="n">
        <v>20</v>
      </c>
    </row>
    <row r="22">
      <c r="A22" s="3" t="inlineStr">
        <is>
          <t>Domaine</t>
        </is>
      </c>
      <c r="B22" s="5" t="n">
        <v>2</v>
      </c>
    </row>
    <row r="23">
      <c r="A23" s="3" t="inlineStr">
        <is>
          <t>Assurance responsabilité (lissée/mois)</t>
        </is>
      </c>
      <c r="B23" s="5" t="n">
        <v>100</v>
      </c>
    </row>
    <row r="24">
      <c r="A24" s="3" t="inlineStr">
        <is>
          <t>Paie fondateur souhaitée (/mois)</t>
        </is>
      </c>
      <c r="B24" s="5" t="n">
        <v>0</v>
      </c>
      <c r="C24" s="15" t="inlineStr">
        <is>
          <t>0 pour l instant (Denis a un emploi) - a ajuster dans 1-2 ans</t>
        </is>
      </c>
    </row>
    <row r="26">
      <c r="A26" s="6" t="inlineStr">
        <is>
          <t>Total coûts fixes (hors Connect &amp; fondateur)</t>
        </is>
      </c>
      <c r="B26" s="7">
        <f>SUM(B19:B23)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Marge réelle par transaction</t>
        </is>
      </c>
    </row>
    <row r="3">
      <c r="A3" s="2" t="inlineStr">
        <is>
          <t>📦 LIVRAISON</t>
        </is>
      </c>
    </row>
    <row r="4">
      <c r="A4" s="3" t="inlineStr">
        <is>
          <t>Prix payé par le client</t>
        </is>
      </c>
      <c r="B4" s="8">
        <f>Hypothèses!B11</f>
        <v/>
      </c>
    </row>
    <row r="5">
      <c r="A5" s="3" t="inlineStr">
        <is>
          <t>Part livreur</t>
        </is>
      </c>
      <c r="B5" s="9">
        <f>B4*Hypothèses!B12</f>
        <v/>
      </c>
    </row>
    <row r="6">
      <c r="A6" s="3" t="inlineStr">
        <is>
          <t>Reste plateforme (commission brute)</t>
        </is>
      </c>
      <c r="B6" s="9">
        <f>B4-B5</f>
        <v/>
      </c>
    </row>
    <row r="7">
      <c r="A7" s="3" t="inlineStr">
        <is>
          <t>– Frais Stripe (paiement)</t>
        </is>
      </c>
      <c r="B7" s="9">
        <f>B4*Hypothèses!B4+Hypothèses!B5</f>
        <v/>
      </c>
    </row>
    <row r="8">
      <c r="A8" s="3" t="inlineStr">
        <is>
          <t>– Frais Connect (versement livreur)</t>
        </is>
      </c>
      <c r="B8" s="9">
        <f>B5*Hypothèses!B6+Hypothèses!B7</f>
        <v/>
      </c>
    </row>
    <row r="9">
      <c r="A9" s="6">
        <f> NET réel plateforme</f>
        <v/>
      </c>
      <c r="B9" s="10">
        <f>B6-B7-B8</f>
        <v/>
      </c>
    </row>
    <row r="10">
      <c r="A10" s="3" t="inlineStr">
        <is>
          <t>Marge nette (% du prix)</t>
        </is>
      </c>
      <c r="B10" s="11">
        <f>B9/B4</f>
        <v/>
      </c>
    </row>
    <row r="13">
      <c r="A13" s="2" t="inlineStr">
        <is>
          <t>🚗 COVOITURAGE (1 siège)</t>
        </is>
      </c>
    </row>
    <row r="14">
      <c r="A14" s="3" t="inlineStr">
        <is>
          <t>Prix payé par le passager</t>
        </is>
      </c>
      <c r="B14" s="8">
        <f>Hypothèses!B16</f>
        <v/>
      </c>
    </row>
    <row r="15">
      <c r="A15" s="3" t="inlineStr">
        <is>
          <t>Frais plateforme (fixe)</t>
        </is>
      </c>
      <c r="B15" s="8">
        <f>Hypothèses!B15</f>
        <v/>
      </c>
    </row>
    <row r="16">
      <c r="A16" s="3" t="inlineStr">
        <is>
          <t>Montant au conducteur</t>
        </is>
      </c>
      <c r="B16" s="9">
        <f>B14-B15</f>
        <v/>
      </c>
    </row>
    <row r="17">
      <c r="A17" s="3" t="inlineStr">
        <is>
          <t>– Frais Stripe (paiement)</t>
        </is>
      </c>
      <c r="B17" s="9">
        <f>B14*Hypothèses!B4+Hypothèses!B5</f>
        <v/>
      </c>
    </row>
    <row r="18">
      <c r="A18" s="3" t="inlineStr">
        <is>
          <t>– Frais Connect (versement)</t>
        </is>
      </c>
      <c r="B18" s="9">
        <f>B16*Hypothèses!B6+Hypothèses!B7</f>
        <v/>
      </c>
    </row>
    <row r="19">
      <c r="A19" s="6">
        <f> NET réel plateforme</f>
        <v/>
      </c>
      <c r="B19" s="10">
        <f>B15-B17-B18</f>
        <v/>
      </c>
    </row>
    <row r="20">
      <c r="A20" s="3" t="inlineStr">
        <is>
          <t>Marge nette (% du prix)</t>
        </is>
      </c>
      <c r="B20" s="11">
        <f>B19/B14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Rentabilité mensuelle — 3 scénarios (livraison)</t>
        </is>
      </c>
    </row>
    <row r="3">
      <c r="B3" s="12" t="inlineStr">
        <is>
          <t>Petit</t>
        </is>
      </c>
      <c r="C3" s="12" t="inlineStr">
        <is>
          <t>Moyen</t>
        </is>
      </c>
      <c r="D3" s="12" t="inlineStr">
        <is>
          <t>Grand</t>
        </is>
      </c>
    </row>
    <row r="4">
      <c r="A4" s="3" t="inlineStr">
        <is>
          <t>Nb livraisons / mois</t>
        </is>
      </c>
      <c r="B4" s="13" t="n">
        <v>50</v>
      </c>
      <c r="C4" s="13" t="n">
        <v>500</v>
      </c>
      <c r="D4" s="13" t="n">
        <v>5000</v>
      </c>
    </row>
    <row r="5">
      <c r="A5" s="3" t="inlineStr">
        <is>
          <t>Nb livreurs actifs</t>
        </is>
      </c>
      <c r="B5" s="13" t="n">
        <v>10</v>
      </c>
      <c r="C5" s="13" t="n">
        <v>60</v>
      </c>
      <c r="D5" s="13" t="n">
        <v>400</v>
      </c>
    </row>
    <row r="6">
      <c r="A6" s="3" t="inlineStr">
        <is>
          <t>Revenu brut livraisons</t>
        </is>
      </c>
      <c r="B6" s="9">
        <f>B4*Hypothèses!$B$11</f>
        <v/>
      </c>
      <c r="C6" s="9">
        <f>C4*Hypothèses!$B$11</f>
        <v/>
      </c>
      <c r="D6" s="9">
        <f>D4*Hypothèses!$B$11</f>
        <v/>
      </c>
    </row>
    <row r="7">
      <c r="A7" s="3" t="inlineStr">
        <is>
          <t>NET plateforme (livraisons)</t>
        </is>
      </c>
      <c r="B7" s="8">
        <f>B4*'Par transaction'!$B$9</f>
        <v/>
      </c>
      <c r="C7" s="8">
        <f>C4*'Par transaction'!$B$9</f>
        <v/>
      </c>
      <c r="D7" s="8">
        <f>D4*'Par transaction'!$B$9</f>
        <v/>
      </c>
    </row>
    <row r="8">
      <c r="A8" s="3" t="inlineStr">
        <is>
          <t>– Coûts fixes (infra + assurance)</t>
        </is>
      </c>
      <c r="B8" s="8">
        <f>Hypothèses!$B$26</f>
        <v/>
      </c>
      <c r="C8" s="8">
        <f>Hypothèses!$B$26</f>
        <v/>
      </c>
      <c r="D8" s="8">
        <f>Hypothèses!$B$26</f>
        <v/>
      </c>
    </row>
    <row r="9">
      <c r="A9" s="3" t="inlineStr">
        <is>
          <t>– Coûts Connect (comptes actifs)</t>
        </is>
      </c>
      <c r="B9" s="8">
        <f>B5*Hypothèses!$B$8</f>
        <v/>
      </c>
      <c r="C9" s="8">
        <f>C5*Hypothèses!$B$8</f>
        <v/>
      </c>
      <c r="D9" s="8">
        <f>D5*Hypothèses!$B$8</f>
        <v/>
      </c>
    </row>
    <row r="10">
      <c r="A10" s="3" t="inlineStr">
        <is>
          <t>– Paie fondateur</t>
        </is>
      </c>
      <c r="B10" s="8">
        <f>Hypothèses!$B$24</f>
        <v/>
      </c>
      <c r="C10" s="8">
        <f>Hypothèses!$B$24</f>
        <v/>
      </c>
      <c r="D10" s="8">
        <f>Hypothèses!$B$24</f>
        <v/>
      </c>
    </row>
    <row r="11">
      <c r="A11" s="3">
        <f> PROFIT mensuel</f>
        <v/>
      </c>
      <c r="B11" s="10">
        <f>B7-B8-B9-B10</f>
        <v/>
      </c>
      <c r="C11" s="10">
        <f>C7-C8-C9-C10</f>
        <v/>
      </c>
      <c r="D11" s="10">
        <f>D7-D8-D9-D10</f>
        <v/>
      </c>
    </row>
    <row r="12">
      <c r="A12" s="3">
        <f> PROFIT annuel</f>
        <v/>
      </c>
      <c r="B12" s="10">
        <f>B11*12</f>
        <v/>
      </c>
      <c r="C12" s="10">
        <f>C11*12</f>
        <v/>
      </c>
      <c r="D12" s="10">
        <f>D11*12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30" customWidth="1" min="4" max="4"/>
  </cols>
  <sheetData>
    <row r="1">
      <c r="A1" s="1" t="inlineStr">
        <is>
          <t>Répartition officielle proposée (sur le prix)</t>
        </is>
      </c>
    </row>
    <row r="3">
      <c r="A3" s="14" t="inlineStr">
        <is>
          <t>Poste</t>
        </is>
      </c>
      <c r="B3" s="14" t="inlineStr">
        <is>
          <t>% du prix</t>
        </is>
      </c>
      <c r="C3" s="14" t="inlineStr">
        <is>
          <t>$ sur 15 $</t>
        </is>
      </c>
      <c r="D3" s="14" t="inlineStr">
        <is>
          <t>Note</t>
        </is>
      </c>
    </row>
    <row r="4">
      <c r="A4" s="3" t="inlineStr">
        <is>
          <t>🚗 Livreur québécois</t>
        </is>
      </c>
      <c r="B4" s="4" t="n">
        <v>0.6</v>
      </c>
      <c r="C4" s="9">
        <f>B4*Hypothèses!$B$11</f>
        <v/>
      </c>
      <c r="D4" s="15" t="inlineStr">
        <is>
          <t>base 60 %, jusquà 70 % avec bonus</t>
        </is>
      </c>
    </row>
    <row r="5">
      <c r="A5" s="3" t="inlineStr">
        <is>
          <t>💳 Frais Stripe (réel)</t>
        </is>
      </c>
      <c r="B5" s="4" t="n">
        <v>0.07000000000000001</v>
      </c>
      <c r="C5" s="9">
        <f>B5*Hypothèses!$B$11</f>
        <v/>
      </c>
      <c r="D5" s="15" t="inlineStr">
        <is>
          <t>coût de paiement</t>
        </is>
      </c>
    </row>
    <row r="6">
      <c r="A6" s="3" t="inlineStr">
        <is>
          <t>🔧 Infra + développement</t>
        </is>
      </c>
      <c r="B6" s="4" t="n">
        <v>0.05</v>
      </c>
      <c r="C6" s="9">
        <f>B6*Hypothèses!$B$11</f>
        <v/>
      </c>
      <c r="D6" s="15" t="inlineStr">
        <is>
          <t>Vercel, Supabase, dev</t>
        </is>
      </c>
    </row>
    <row r="7">
      <c r="A7" s="3" t="inlineStr">
        <is>
          <t>🛡️ Protection + urgence</t>
        </is>
      </c>
      <c r="B7" s="4" t="n">
        <v>0.16</v>
      </c>
      <c r="C7" s="9">
        <f>B7*Hypothèses!$B$11</f>
        <v/>
      </c>
      <c r="D7" s="15" t="inlineStr">
        <is>
          <t>sécurité d abord</t>
        </is>
      </c>
    </row>
    <row r="8">
      <c r="A8" s="3" t="inlineStr">
        <is>
          <t>💚 Communauté</t>
        </is>
      </c>
      <c r="B8" s="4" t="n">
        <v>0.05</v>
      </c>
      <c r="C8" s="9">
        <f>B8*Hypothèses!$B$11</f>
        <v/>
      </c>
      <c r="D8" s="15" t="inlineStr">
        <is>
          <t>organismes (pour l instant)</t>
        </is>
      </c>
    </row>
    <row r="9">
      <c r="A9" s="3" t="inlineStr">
        <is>
          <t>💪 Réserve / pérennité</t>
        </is>
      </c>
      <c r="B9" s="4" t="n">
        <v>0.07000000000000001</v>
      </c>
      <c r="C9" s="9">
        <f>B9*Hypothèses!$B$11</f>
        <v/>
      </c>
      <c r="D9" s="15" t="inlineStr">
        <is>
          <t>réinvestissement</t>
        </is>
      </c>
    </row>
    <row r="10">
      <c r="A10" s="6" t="inlineStr">
        <is>
          <t>TOTAL (doit = 100 %)</t>
        </is>
      </c>
      <c r="B10" s="17">
        <f>SUM(B4:B9)</f>
        <v/>
      </c>
      <c r="C10" s="10">
        <f>SUM(C4:C9)</f>
        <v/>
      </c>
      <c r="D10" s="15" t="inlineStr">
        <is>
          <t>réinvestissement</t>
        </is>
      </c>
    </row>
    <row r="11">
      <c r="A11" s="6" t="n"/>
      <c r="B11" s="16" t="n"/>
      <c r="C1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2026-06-10T23:16:39Z</dcterms:created>
  <dcterms:modified xsi:type="dcterms:W3CDTF">2026-06-11T22:02:15Z</dcterms:modified>
</cp:coreProperties>
</file>